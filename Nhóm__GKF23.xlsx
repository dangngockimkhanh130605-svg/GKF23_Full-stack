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angngockimkhanh/Documents/Full stack/Giữa kỳ/GKF23_Full-stack/"/>
    </mc:Choice>
  </mc:AlternateContent>
  <xr:revisionPtr revIDLastSave="0" documentId="13_ncr:1_{69E8EE7F-12D1-F44C-9429-BBD3EB03D79C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Bảng đánh giá" sheetId="1" r:id="rId1"/>
    <sheet name="Bảng phân cô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</calcChain>
</file>

<file path=xl/sharedStrings.xml><?xml version="1.0" encoding="utf-8"?>
<sst xmlns="http://schemas.openxmlformats.org/spreadsheetml/2006/main" count="123" uniqueCount="112">
  <si>
    <t>Mã nhóm</t>
  </si>
  <si>
    <t>GKF23</t>
  </si>
  <si>
    <t>(Xem ở trang làm nhóm trên ELIT, xem hình bên phải)</t>
  </si>
  <si>
    <t>Thành viên</t>
  </si>
  <si>
    <t>Họ tên</t>
  </si>
  <si>
    <t>MSSV</t>
  </si>
  <si>
    <t>SĐT</t>
  </si>
  <si>
    <t>Ghi chú</t>
  </si>
  <si>
    <t>Ký hiệu</t>
  </si>
  <si>
    <t>Nơi lấy mã nhóm: Vào ELIT, vào trang làm nhóm của đồ án sẽ thấy mục mã nhóm</t>
  </si>
  <si>
    <t>Đặng Ngọc Kim Khánh</t>
  </si>
  <si>
    <t>0813488544</t>
  </si>
  <si>
    <t>TV1</t>
  </si>
  <si>
    <t>Vũ Khánh Huyền</t>
  </si>
  <si>
    <t>0868340469</t>
  </si>
  <si>
    <t>TV2</t>
  </si>
  <si>
    <t>TV3</t>
  </si>
  <si>
    <t>TV4</t>
  </si>
  <si>
    <t>THANG ĐIỂM ĐÁNH GIÁ TIỂU LUẬN GIỮA KỲ MÔN FULL-STACK</t>
  </si>
  <si>
    <t>Nhóm yêu cầu</t>
  </si>
  <si>
    <t>Tiêu chí đánh giá chung (Mỗi tiêu chí tối đa 0.5đ)</t>
  </si>
  <si>
    <t>Mức 1 (0đ)</t>
  </si>
  <si>
    <t>Mức 2 (Tối đa 75% - 0.375đ)</t>
  </si>
  <si>
    <t>Mức 3 (100% - 0.5đ)</t>
  </si>
  <si>
    <t>I. Hình thức &amp; Cấu trúc (2.0đ)</t>
  </si>
  <si>
    <t>1. Slide: Bố cục, thẩm mỹ</t>
  </si>
  <si>
    <t>Không nộp slide hoặc slide quá nhiều chữ, rối mắt.</t>
  </si>
  <si>
    <t>Slide khá mạch lạc nhưng còn vài slide nhiều chữ, khó dùng giảng dạy.</t>
  </si>
  <si>
    <t>Slide trực quan, rất ít chữ, bố cục chuyên nghiệp, đẹp mắt.</t>
  </si>
  <si>
    <t>2. Slide: Kết luận &amp; Tài liệu tham khảo</t>
  </si>
  <si>
    <t>Thiếu hoàn toàn cả hai phần.</t>
  </si>
  <si>
    <t>Có kết luận hoặc tài liệu tham khảo nhưng sơ sài, format không chuẩn.</t>
  </si>
  <si>
    <t>Có đầy đủ kết luận súc tích và danh sách tài liệu tham khảo rõ ràng.</t>
  </si>
  <si>
    <t>3. Báo cáo: Mục lục &amp; Bố cục</t>
  </si>
  <si>
    <t>Không có mục lục hoặc mục lục sai lệch hoàn toàn.</t>
  </si>
  <si>
    <t>Có mục lục nhưng đánh số trang sai hoặc phân cấp mục chưa hợp lý.</t>
  </si>
  <si>
    <t>Có mục lục tự động chuẩn xác, dễ theo dõi, phân cấp rõ ràng.</t>
  </si>
  <si>
    <t>4. Báo cáo: Định dạng văn bản</t>
  </si>
  <si>
    <t>Trình bày cẩu thả, lỗi font, không đồng nhất format.</t>
  </si>
  <si>
    <t>Trình bày tương đối sạch sẽ nhưng còn vài lỗi format/chính tả nhỏ.</t>
  </si>
  <si>
    <t>Format đồng nhất, chuyên nghiệp, không lỗi chính tả, văn phong chuẩn kỹ thuật.</t>
  </si>
  <si>
    <t>II. Nội dung Lý thuyết &amp; Bắt buộc (3.0đ)</t>
  </si>
  <si>
    <t>5. Tổng quan: Khái niệm &amp; Mục đích</t>
  </si>
  <si>
    <t>Không trình bày hoặc copy sai lệch khái niệm.</t>
  </si>
  <si>
    <t>Có nêu khái niệm nhưng còn lủng củng, chưa lột tả được mục đích chính.</t>
  </si>
  <si>
    <t>Giải thích khái niệm, mục đích, cách dùng vô cùng rõ ràng, chuẩn xác.</t>
  </si>
  <si>
    <t>6. Tổng quan: Ưu/nhược điểm (Use-case)</t>
  </si>
  <si>
    <t>Không có phân tích ưu/nhược điểm.</t>
  </si>
  <si>
    <t>Có nêu ưu/nhược điểm nhưng sơ sài, sao chép nguyên xi trên mạng.</t>
  </si>
  <si>
    <t>Phân tích sâu sắc ưu/nhược điểm hoặc đưa ra use-case thực tế thuyết phục.</t>
  </si>
  <si>
    <t>7. Nội dung bắt buộc: Bao phủ yêu cầu (Phần 1)</t>
  </si>
  <si>
    <t>Thiếu hầu hết các gạch đầu dòng bắt buộc nửa đầu của đề.</t>
  </si>
  <si>
    <t>Đề cập đủ nhưng giải thích qua loa, thiếu ví dụ gắn kèm.</t>
  </si>
  <si>
    <t>Trình bày đầy đủ, chi tiết các nội dung bắt buộc (nửa đầu của đề).</t>
  </si>
  <si>
    <t>8. Nội dung bắt buộc: Bao phủ yêu cầu (Phần 2)</t>
  </si>
  <si>
    <t>Thiếu hầu hết các gạch đầu dòng bắt buộc nửa sau của đề.</t>
  </si>
  <si>
    <t>Trình bày đầy đủ, chi tiết các nội dung bắt buộc (nửa sau của đề).</t>
  </si>
  <si>
    <t>9. Nội dung bắt buộc: Chiều sâu lý thuyết</t>
  </si>
  <si>
    <t>Nội dung hoàn toàn là copy/paste, không thể hiện việc hiểu bài.</t>
  </si>
  <si>
    <t>Có văn phong cá nhân nhưng giải thích một số cơ chế cốt lõi còn lúng túng.</t>
  </si>
  <si>
    <t>Giải thích lý thuyết sâu sắc, văn phong hiểu bài, tự viết lại theo ý hiểu.</t>
  </si>
  <si>
    <t>10. Báo cáo chi tiết hơn Slide</t>
  </si>
  <si>
    <t>Báo cáo y hệt slide, không có thêm thông tin.</t>
  </si>
  <si>
    <t>Báo cáo có chi tiết hơn nhưng đôi chỗ vẫn mang tính liệt kê như slide.</t>
  </si>
  <si>
    <t>Báo cáo diễn giải rất cặn kẽ, sâu sắc các ý tóm tắt trên slide.</t>
  </si>
  <si>
    <t>III. Minh họa &amp; Video Demo (2.0đ)</t>
  </si>
  <si>
    <t>11. Ảnh chụp &amp; Sơ đồ (Trong Báo cáo)</t>
  </si>
  <si>
    <t>Không có ảnh chụp/sơ đồ minh họa nào.</t>
  </si>
  <si>
    <t>Có ảnh chụp màn hình/code nhưng mờ, rối, thiếu chú thích.</t>
  </si>
  <si>
    <t>Ảnh chụp màn hình rõ nét, có đánh dấu (highlight) vị trí quan trọng, chú thích rõ ràng.</t>
  </si>
  <si>
    <t>12. Hướng dẫn cài đặt &amp; Chạy ứng dụng</t>
  </si>
  <si>
    <t>Không có hướng dẫn cài đặt hoặc lệnh chạy.</t>
  </si>
  <si>
    <t>Có hướng dẫn nhưng thiếu bước, khó để người khác tái lập lại kết quả.</t>
  </si>
  <si>
    <t>Hướng dẫn từng bước cực kỳ chi tiết, chuẩn xác, lệnh chạy không lỗi.</t>
  </si>
  <si>
    <t>13. Video Demo: Chất lượng &amp; Thao tác</t>
  </si>
  <si>
    <t>Không nộp video demo.</t>
  </si>
  <si>
    <t>Video mờ, độ dài không hợp lý hoặc thao tác chạy app ngập ngừng, khó theo dõi.</t>
  </si>
  <si>
    <t>Video rõ nét (đúng giới hạn thời gian), thao tác mượt mà, trơn tru.</t>
  </si>
  <si>
    <t>14. Video Demo: Tính hoàn thiện chức năng</t>
  </si>
  <si>
    <t>App không chạy được hoặc báo lỗi liên tục trong video.</t>
  </si>
  <si>
    <t>App chạy được nhưng 1-2 chức năng/luồng user bị lỗi (bug) nhỏ.</t>
  </si>
  <si>
    <t>Trình diễn đầy đủ các chức năng minh họa bắt buộc không có bất kỳ lỗi nào.</t>
  </si>
  <si>
    <t>IV. Bài tập ứng dụng (3.0đ)</t>
  </si>
  <si>
    <t>15. Đề xuất 03 bài tập</t>
  </si>
  <si>
    <t>Không có bài tập hoặc các bài tập đi lạc đề hoàn toàn.</t>
  </si>
  <si>
    <t>Nêu được 1-2 bài hoặc 3 bài nhưng quá đơn giản, chưa bám sát đề.</t>
  </si>
  <si>
    <t>Đề xuất đủ 03 bài tập hợp lý, có tính thực tiễn, bám sát kiến thức trọng tâm.</t>
  </si>
  <si>
    <t>16. Lời giải &amp; Code minh họa (Bài 1)</t>
  </si>
  <si>
    <t>Không giải được Bài 1 hoặc code sai hoàn toàn.</t>
  </si>
  <si>
    <t>Code chạy được nhưng chưa tối ưu, giải thích qua loa.</t>
  </si>
  <si>
    <t>Code đúng chuẩn, sạch sẽ; giải thích cách làm cực kỳ chi tiết, dễ hiểu.</t>
  </si>
  <si>
    <t>17. Lời giải &amp; Code minh họa (Bài 2)</t>
  </si>
  <si>
    <t>Không giải được Bài 2 hoặc code sai hoàn toàn.</t>
  </si>
  <si>
    <t>18. Lời giải &amp; Code minh họa (Bài 3)</t>
  </si>
  <si>
    <t>Không giải được Bài 3 hoặc code sai hoàn toàn.</t>
  </si>
  <si>
    <t>19. Trình bày bài tập trên Slide</t>
  </si>
  <si>
    <t>Không đưa bài tập lên slide.</t>
  </si>
  <si>
    <t>Có đưa lên nhưng chèn cả đoạn code dài gây rối mắt, khó đọc.</t>
  </si>
  <si>
    <t>Cô đọng đề bài và snippet code trọng tâm lên slide cực kỳ trực quan.</t>
  </si>
  <si>
    <t>20. Trình bày bài tập trong Báo cáo</t>
  </si>
  <si>
    <t>Không đưa bài tập vào báo cáo.</t>
  </si>
  <si>
    <t>Đưa bài tập vào nhưng thiếu đề hoặc chỉ thả code không giải thích.</t>
  </si>
  <si>
    <t>Đưa đủ đề bài, đoạn code và giải thích step-by-step logic giải quyết vấn đề.</t>
  </si>
  <si>
    <t>Điểm trừ nếu có</t>
  </si>
  <si>
    <t>Tổng cộng</t>
  </si>
  <si>
    <t>Tối đa 10.0 điểm</t>
  </si>
  <si>
    <t>Công việc</t>
  </si>
  <si>
    <t>Mức độ hoàn thành</t>
  </si>
  <si>
    <t>Đặng Ngọc Kim Khánh (TV1)</t>
  </si>
  <si>
    <t>Phụ trách module hiển thị dữ liệu của mini-app React-Bootstrap: tạo project, cài đặt thư viện, tạo cấu trúc thư mục, xây dụng Nav, Home, DashboardCard, ProductTable, dữ liệu sản phần. Viết báo cáo và slide phần giới thiệu React-Bootstrap, hướng dẫn chạy và cài đặt, Navigation, Table, Card, phụ trách ảnh demo phần giao diện danh sách.</t>
  </si>
  <si>
    <t>Vũ Khánh Huyền (TV2)</t>
  </si>
  <si>
    <t>Phụ trách module thao tác dữ liệu của mini-app; xây dựng form, alert, xử lý thêm, sửa, xoá dữ liệu. Viết báo cáo và slide phần form, alert, modals, ưu/nhược điểm, phụ trách phần ảnh demo form, alert và modal, phụ trách quay demo.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</si>
</sst>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rgb="FF212529"/>
      <name val="&quot;Source Sans Pro&quot;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b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vertical="top"/>
    </xf>
    <xf numFmtId="0" fontId="1" fillId="0" borderId="0" xfId="0" applyFont="1"/>
    <xf numFmtId="0" fontId="3" fillId="0" borderId="2" xfId="0" applyFont="1" applyBorder="1"/>
    <xf numFmtId="0" fontId="4" fillId="0" borderId="2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 vertical="center"/>
    </xf>
    <xf numFmtId="0" fontId="5" fillId="0" borderId="2" xfId="0" applyFont="1" applyBorder="1"/>
    <xf numFmtId="0" fontId="1" fillId="2" borderId="2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7" fillId="3" borderId="0" xfId="0" applyFont="1" applyFill="1" applyAlignment="1">
      <alignment wrapText="1"/>
    </xf>
    <xf numFmtId="0" fontId="8" fillId="3" borderId="0" xfId="0" applyFont="1" applyFill="1" applyAlignment="1">
      <alignment wrapText="1"/>
    </xf>
    <xf numFmtId="0" fontId="1" fillId="3" borderId="2" xfId="0" applyFont="1" applyFill="1" applyBorder="1"/>
    <xf numFmtId="0" fontId="8" fillId="2" borderId="0" xfId="0" applyFont="1" applyFill="1" applyAlignment="1">
      <alignment wrapText="1"/>
    </xf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3" borderId="3" xfId="0" applyFont="1" applyFill="1" applyBorder="1"/>
    <xf numFmtId="0" fontId="1" fillId="2" borderId="0" xfId="0" applyFont="1" applyFill="1" applyAlignment="1">
      <alignment horizontal="right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Bảng đánh giá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9:I31">
  <tableColumns count="9">
    <tableColumn id="1" xr3:uid="{00000000-0010-0000-0000-000001000000}" name="Nhóm yêu cầu"/>
    <tableColumn id="2" xr3:uid="{00000000-0010-0000-0000-000002000000}" name="Tiêu chí đánh giá chung (Mỗi tiêu chí tối đa 0.5đ)"/>
    <tableColumn id="3" xr3:uid="{00000000-0010-0000-0000-000003000000}" name="Mức 1 (0đ)"/>
    <tableColumn id="4" xr3:uid="{00000000-0010-0000-0000-000004000000}" name="Mức 2 (Tối đa 75% - 0.375đ)"/>
    <tableColumn id="5" xr3:uid="{00000000-0010-0000-0000-000005000000}" name="Mức 3 (100% - 0.5đ)"/>
    <tableColumn id="6" xr3:uid="{00000000-0010-0000-0000-000006000000}" name="TV1"/>
    <tableColumn id="7" xr3:uid="{00000000-0010-0000-0000-000007000000}" name="TV2"/>
    <tableColumn id="8" xr3:uid="{00000000-0010-0000-0000-000008000000}" name="TV3"/>
    <tableColumn id="9" xr3:uid="{00000000-0010-0000-0000-000009000000}" name="TV4"/>
  </tableColumns>
  <tableStyleInfo name="Bảng đánh giá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1" max="1" width="11.1640625" customWidth="1"/>
    <col min="2" max="2" width="31.33203125" customWidth="1"/>
    <col min="3" max="3" width="44.6640625" customWidth="1"/>
    <col min="4" max="4" width="42.6640625" customWidth="1"/>
    <col min="5" max="5" width="37.5" customWidth="1"/>
  </cols>
  <sheetData>
    <row r="1" spans="1:26" ht="15.75" customHeight="1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5" t="s">
        <v>8</v>
      </c>
      <c r="G2" s="3"/>
      <c r="H2" s="3"/>
      <c r="I2" s="3"/>
      <c r="J2" s="3"/>
      <c r="K2" s="3" t="s">
        <v>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6" t="s">
        <v>10</v>
      </c>
      <c r="C3" s="6">
        <v>52300208</v>
      </c>
      <c r="D3" s="7" t="s">
        <v>11</v>
      </c>
      <c r="E3" s="6"/>
      <c r="F3" s="8" t="s">
        <v>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6" t="s">
        <v>13</v>
      </c>
      <c r="C4" s="6">
        <v>52300206</v>
      </c>
      <c r="D4" s="7" t="s">
        <v>14</v>
      </c>
      <c r="E4" s="6"/>
      <c r="F4" s="8" t="s">
        <v>15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9"/>
      <c r="C5" s="9"/>
      <c r="D5" s="9"/>
      <c r="E5" s="9"/>
      <c r="F5" s="8" t="s">
        <v>16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9"/>
      <c r="C6" s="9"/>
      <c r="D6" s="9"/>
      <c r="E6" s="9"/>
      <c r="F6" s="8" t="s">
        <v>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26" t="s">
        <v>18</v>
      </c>
      <c r="B8" s="27"/>
      <c r="C8" s="27"/>
      <c r="D8" s="27"/>
      <c r="E8" s="2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10" t="s">
        <v>19</v>
      </c>
      <c r="B9" s="11" t="s">
        <v>20</v>
      </c>
      <c r="C9" s="11" t="s">
        <v>21</v>
      </c>
      <c r="D9" s="11" t="s">
        <v>22</v>
      </c>
      <c r="E9" s="11" t="s">
        <v>23</v>
      </c>
      <c r="F9" s="12" t="s">
        <v>12</v>
      </c>
      <c r="G9" s="12" t="s">
        <v>15</v>
      </c>
      <c r="H9" s="12" t="s">
        <v>16</v>
      </c>
      <c r="I9" s="12" t="s">
        <v>17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13" t="s">
        <v>24</v>
      </c>
      <c r="B10" s="14" t="s">
        <v>25</v>
      </c>
      <c r="C10" s="14" t="s">
        <v>26</v>
      </c>
      <c r="D10" s="14" t="s">
        <v>27</v>
      </c>
      <c r="E10" s="14" t="s">
        <v>28</v>
      </c>
      <c r="F10" s="15">
        <v>0.5</v>
      </c>
      <c r="G10" s="15">
        <v>0.5</v>
      </c>
      <c r="H10" s="15"/>
      <c r="I10" s="1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10"/>
      <c r="B11" s="16" t="s">
        <v>29</v>
      </c>
      <c r="C11" s="16" t="s">
        <v>30</v>
      </c>
      <c r="D11" s="16" t="s">
        <v>31</v>
      </c>
      <c r="E11" s="16" t="s">
        <v>32</v>
      </c>
      <c r="F11" s="9">
        <v>0.5</v>
      </c>
      <c r="G11" s="9">
        <v>0.5</v>
      </c>
      <c r="H11" s="9"/>
      <c r="I11" s="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17"/>
      <c r="B12" s="14" t="s">
        <v>33</v>
      </c>
      <c r="C12" s="14" t="s">
        <v>34</v>
      </c>
      <c r="D12" s="14" t="s">
        <v>35</v>
      </c>
      <c r="E12" s="14" t="s">
        <v>36</v>
      </c>
      <c r="F12" s="15">
        <v>0.5</v>
      </c>
      <c r="G12" s="15">
        <v>0.5</v>
      </c>
      <c r="H12" s="15"/>
      <c r="I12" s="1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10"/>
      <c r="B13" s="16" t="s">
        <v>37</v>
      </c>
      <c r="C13" s="16" t="s">
        <v>38</v>
      </c>
      <c r="D13" s="16" t="s">
        <v>39</v>
      </c>
      <c r="E13" s="16" t="s">
        <v>40</v>
      </c>
      <c r="F13" s="9">
        <v>0.5</v>
      </c>
      <c r="G13" s="9">
        <v>0.5</v>
      </c>
      <c r="H13" s="9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13" t="s">
        <v>41</v>
      </c>
      <c r="B14" s="14" t="s">
        <v>42</v>
      </c>
      <c r="C14" s="14" t="s">
        <v>43</v>
      </c>
      <c r="D14" s="14" t="s">
        <v>44</v>
      </c>
      <c r="E14" s="14" t="s">
        <v>45</v>
      </c>
      <c r="F14" s="15">
        <v>0.5</v>
      </c>
      <c r="G14" s="15">
        <v>0.5</v>
      </c>
      <c r="H14" s="15"/>
      <c r="I14" s="1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10"/>
      <c r="B15" s="16" t="s">
        <v>46</v>
      </c>
      <c r="C15" s="16" t="s">
        <v>47</v>
      </c>
      <c r="D15" s="16" t="s">
        <v>48</v>
      </c>
      <c r="E15" s="16" t="s">
        <v>49</v>
      </c>
      <c r="F15" s="9">
        <v>0.375</v>
      </c>
      <c r="G15" s="9">
        <v>0.375</v>
      </c>
      <c r="H15" s="9"/>
      <c r="I15" s="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17"/>
      <c r="B16" s="14" t="s">
        <v>50</v>
      </c>
      <c r="C16" s="14" t="s">
        <v>51</v>
      </c>
      <c r="D16" s="14" t="s">
        <v>52</v>
      </c>
      <c r="E16" s="14" t="s">
        <v>53</v>
      </c>
      <c r="F16" s="15">
        <v>0.5</v>
      </c>
      <c r="G16" s="15">
        <v>0.5</v>
      </c>
      <c r="H16" s="15"/>
      <c r="I16" s="15"/>
      <c r="J16" s="18"/>
      <c r="K16" s="18"/>
      <c r="L16" s="18"/>
      <c r="M16" s="18"/>
      <c r="N16" s="18"/>
      <c r="O16" s="18"/>
      <c r="P16" s="18"/>
      <c r="Q16" s="18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10"/>
      <c r="B17" s="16" t="s">
        <v>54</v>
      </c>
      <c r="C17" s="16" t="s">
        <v>55</v>
      </c>
      <c r="D17" s="16" t="s">
        <v>52</v>
      </c>
      <c r="E17" s="16" t="s">
        <v>56</v>
      </c>
      <c r="F17" s="9">
        <v>0.5</v>
      </c>
      <c r="G17" s="9">
        <v>0.5</v>
      </c>
      <c r="H17" s="9"/>
      <c r="I17" s="9"/>
      <c r="J17" s="18"/>
      <c r="K17" s="18"/>
      <c r="L17" s="18"/>
      <c r="M17" s="18"/>
      <c r="N17" s="18"/>
      <c r="O17" s="18"/>
      <c r="P17" s="18"/>
      <c r="Q17" s="18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17"/>
      <c r="B18" s="14" t="s">
        <v>57</v>
      </c>
      <c r="C18" s="14" t="s">
        <v>58</v>
      </c>
      <c r="D18" s="14" t="s">
        <v>59</v>
      </c>
      <c r="E18" s="14" t="s">
        <v>60</v>
      </c>
      <c r="F18" s="15">
        <v>0.375</v>
      </c>
      <c r="G18" s="15">
        <v>0.375</v>
      </c>
      <c r="H18" s="15"/>
      <c r="I18" s="15"/>
      <c r="J18" s="18"/>
      <c r="K18" s="18"/>
      <c r="L18" s="18"/>
      <c r="M18" s="18"/>
      <c r="N18" s="18"/>
      <c r="O18" s="18"/>
      <c r="P18" s="18"/>
      <c r="Q18" s="18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10"/>
      <c r="B19" s="16" t="s">
        <v>61</v>
      </c>
      <c r="C19" s="16" t="s">
        <v>62</v>
      </c>
      <c r="D19" s="16" t="s">
        <v>63</v>
      </c>
      <c r="E19" s="16" t="s">
        <v>64</v>
      </c>
      <c r="F19" s="9">
        <v>0.5</v>
      </c>
      <c r="G19" s="9">
        <v>0.5</v>
      </c>
      <c r="H19" s="9"/>
      <c r="I19" s="9"/>
      <c r="J19" s="18"/>
      <c r="K19" s="18"/>
      <c r="L19" s="18"/>
      <c r="M19" s="18"/>
      <c r="N19" s="18"/>
      <c r="O19" s="18"/>
      <c r="P19" s="18"/>
      <c r="Q19" s="18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13" t="s">
        <v>65</v>
      </c>
      <c r="B20" s="14" t="s">
        <v>66</v>
      </c>
      <c r="C20" s="14" t="s">
        <v>67</v>
      </c>
      <c r="D20" s="14" t="s">
        <v>68</v>
      </c>
      <c r="E20" s="14" t="s">
        <v>69</v>
      </c>
      <c r="F20" s="15">
        <v>0.5</v>
      </c>
      <c r="G20" s="15">
        <v>0.5</v>
      </c>
      <c r="H20" s="15"/>
      <c r="I20" s="15"/>
      <c r="J20" s="18"/>
      <c r="K20" s="18"/>
      <c r="L20" s="18"/>
      <c r="M20" s="18"/>
      <c r="N20" s="18"/>
      <c r="O20" s="18"/>
      <c r="P20" s="18"/>
      <c r="Q20" s="18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0"/>
      <c r="B21" s="16" t="s">
        <v>70</v>
      </c>
      <c r="C21" s="16" t="s">
        <v>71</v>
      </c>
      <c r="D21" s="16" t="s">
        <v>72</v>
      </c>
      <c r="E21" s="16" t="s">
        <v>73</v>
      </c>
      <c r="F21" s="9">
        <v>0.5</v>
      </c>
      <c r="G21" s="9">
        <v>0.5</v>
      </c>
      <c r="H21" s="9"/>
      <c r="I21" s="9"/>
      <c r="J21" s="18"/>
      <c r="K21" s="18"/>
      <c r="L21" s="18"/>
      <c r="M21" s="18"/>
      <c r="N21" s="18"/>
      <c r="O21" s="1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17"/>
      <c r="B22" s="14" t="s">
        <v>74</v>
      </c>
      <c r="C22" s="14" t="s">
        <v>75</v>
      </c>
      <c r="D22" s="14" t="s">
        <v>76</v>
      </c>
      <c r="E22" s="14" t="s">
        <v>77</v>
      </c>
      <c r="F22" s="15">
        <v>0.5</v>
      </c>
      <c r="G22" s="15">
        <v>0.5</v>
      </c>
      <c r="H22" s="15"/>
      <c r="I22" s="15"/>
      <c r="J22" s="18"/>
      <c r="K22" s="1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0"/>
      <c r="B23" s="16" t="s">
        <v>78</v>
      </c>
      <c r="C23" s="16" t="s">
        <v>79</v>
      </c>
      <c r="D23" s="16" t="s">
        <v>80</v>
      </c>
      <c r="E23" s="16" t="s">
        <v>81</v>
      </c>
      <c r="F23" s="9">
        <v>0.5</v>
      </c>
      <c r="G23" s="9">
        <v>0.5</v>
      </c>
      <c r="H23" s="9"/>
      <c r="I23" s="9"/>
      <c r="J23" s="18"/>
      <c r="K23" s="1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3" t="s">
        <v>82</v>
      </c>
      <c r="B24" s="14" t="s">
        <v>83</v>
      </c>
      <c r="C24" s="14" t="s">
        <v>84</v>
      </c>
      <c r="D24" s="14" t="s">
        <v>85</v>
      </c>
      <c r="E24" s="14" t="s">
        <v>86</v>
      </c>
      <c r="F24" s="15">
        <v>0.5</v>
      </c>
      <c r="G24" s="15">
        <v>0.5</v>
      </c>
      <c r="H24" s="15"/>
      <c r="I24" s="15"/>
      <c r="J24" s="18"/>
      <c r="K24" s="1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0"/>
      <c r="B25" s="16" t="s">
        <v>87</v>
      </c>
      <c r="C25" s="16" t="s">
        <v>88</v>
      </c>
      <c r="D25" s="16" t="s">
        <v>89</v>
      </c>
      <c r="E25" s="16" t="s">
        <v>90</v>
      </c>
      <c r="F25" s="9">
        <v>0.5</v>
      </c>
      <c r="G25" s="9">
        <v>0.5</v>
      </c>
      <c r="H25" s="9"/>
      <c r="I25" s="9"/>
      <c r="J25" s="18"/>
      <c r="K25" s="1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17"/>
      <c r="B26" s="14" t="s">
        <v>91</v>
      </c>
      <c r="C26" s="14" t="s">
        <v>92</v>
      </c>
      <c r="D26" s="14" t="s">
        <v>89</v>
      </c>
      <c r="E26" s="14" t="s">
        <v>90</v>
      </c>
      <c r="F26" s="15">
        <v>0.5</v>
      </c>
      <c r="G26" s="15">
        <v>0.5</v>
      </c>
      <c r="H26" s="15"/>
      <c r="I26" s="15"/>
      <c r="J26" s="18"/>
      <c r="K26" s="1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10"/>
      <c r="B27" s="16" t="s">
        <v>93</v>
      </c>
      <c r="C27" s="16" t="s">
        <v>94</v>
      </c>
      <c r="D27" s="16" t="s">
        <v>89</v>
      </c>
      <c r="E27" s="16" t="s">
        <v>90</v>
      </c>
      <c r="F27" s="9">
        <v>0.5</v>
      </c>
      <c r="G27" s="9">
        <v>0.5</v>
      </c>
      <c r="H27" s="9"/>
      <c r="I27" s="9"/>
      <c r="J27" s="18"/>
      <c r="K27" s="1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17"/>
      <c r="B28" s="14" t="s">
        <v>95</v>
      </c>
      <c r="C28" s="14" t="s">
        <v>96</v>
      </c>
      <c r="D28" s="14" t="s">
        <v>97</v>
      </c>
      <c r="E28" s="14" t="s">
        <v>98</v>
      </c>
      <c r="F28" s="15">
        <v>0.5</v>
      </c>
      <c r="G28" s="15">
        <v>0.5</v>
      </c>
      <c r="H28" s="15"/>
      <c r="I28" s="1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0"/>
      <c r="B29" s="16" t="s">
        <v>99</v>
      </c>
      <c r="C29" s="16" t="s">
        <v>100</v>
      </c>
      <c r="D29" s="16" t="s">
        <v>101</v>
      </c>
      <c r="E29" s="16" t="s">
        <v>102</v>
      </c>
      <c r="F29" s="9">
        <v>0.5</v>
      </c>
      <c r="G29" s="9">
        <v>0.5</v>
      </c>
      <c r="H29" s="9"/>
      <c r="I29" s="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7"/>
      <c r="B30" s="17"/>
      <c r="C30" s="17"/>
      <c r="D30" s="17"/>
      <c r="E30" s="14" t="s">
        <v>103</v>
      </c>
      <c r="F30" s="19"/>
      <c r="G30" s="19"/>
      <c r="H30" s="19"/>
      <c r="I30" s="1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0" t="s">
        <v>104</v>
      </c>
      <c r="B31" s="11" t="s">
        <v>105</v>
      </c>
      <c r="C31" s="10"/>
      <c r="D31" s="10"/>
      <c r="E31" s="10"/>
      <c r="F31" s="20">
        <f t="shared" ref="F31:I31" si="0">SUM(F10:F29)- F30</f>
        <v>9.75</v>
      </c>
      <c r="G31" s="20">
        <f t="shared" si="0"/>
        <v>9.75</v>
      </c>
      <c r="H31" s="20">
        <f t="shared" si="0"/>
        <v>0</v>
      </c>
      <c r="I31" s="20">
        <f t="shared" si="0"/>
        <v>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8:E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selection activeCell="A10" sqref="A10"/>
    </sheetView>
  </sheetViews>
  <sheetFormatPr baseColWidth="10" defaultColWidth="12.6640625" defaultRowHeight="15.75" customHeight="1"/>
  <cols>
    <col min="1" max="1" width="30.5" customWidth="1"/>
    <col min="2" max="2" width="39.1640625" customWidth="1"/>
    <col min="3" max="3" width="18.83203125" customWidth="1"/>
  </cols>
  <sheetData>
    <row r="1" spans="1:26" ht="17">
      <c r="A1" s="21" t="s">
        <v>3</v>
      </c>
      <c r="B1" s="21" t="s">
        <v>106</v>
      </c>
      <c r="C1" s="21" t="s">
        <v>107</v>
      </c>
      <c r="D1" s="21" t="s">
        <v>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4" customHeight="1">
      <c r="A2" s="22" t="s">
        <v>108</v>
      </c>
      <c r="B2" s="23" t="s">
        <v>109</v>
      </c>
      <c r="C2" s="24">
        <v>1</v>
      </c>
      <c r="D2" s="2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4" customHeight="1">
      <c r="A3" s="22" t="s">
        <v>110</v>
      </c>
      <c r="B3" s="23" t="s">
        <v>111</v>
      </c>
      <c r="C3" s="24">
        <v>1</v>
      </c>
      <c r="D3" s="2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25"/>
      <c r="B4" s="25"/>
      <c r="C4" s="25"/>
      <c r="D4" s="2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25"/>
      <c r="B5" s="25"/>
      <c r="C5" s="25"/>
      <c r="D5" s="2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25"/>
      <c r="B6" s="25"/>
      <c r="C6" s="25"/>
      <c r="D6" s="2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25"/>
      <c r="B7" s="25"/>
      <c r="C7" s="25"/>
      <c r="D7" s="2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25"/>
      <c r="B8" s="25"/>
      <c r="C8" s="25"/>
      <c r="D8" s="2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đánh giá</vt:lpstr>
      <vt:lpstr>Bảng phân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2026-05-09T09:27:23Z</dcterms:modified>
</cp:coreProperties>
</file>