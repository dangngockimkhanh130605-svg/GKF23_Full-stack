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ảng đánh giá" sheetId="1" r:id="rId5"/>
    <sheet state="visible" name="Bảng phân công" sheetId="2" r:id="rId6"/>
  </sheets>
  <definedNames/>
  <calcPr/>
</workbook>
</file>

<file path=xl/sharedStrings.xml><?xml version="1.0" encoding="utf-8"?>
<sst xmlns="http://schemas.openxmlformats.org/spreadsheetml/2006/main" count="123" uniqueCount="112">
  <si>
    <t>Mã nhóm</t>
  </si>
  <si>
    <t>GKF23</t>
  </si>
  <si>
    <t>(Xem ở trang làm nhóm trên ELIT, xem hình bên phải)</t>
  </si>
  <si>
    <t>Thành viên</t>
  </si>
  <si>
    <t>Họ tên</t>
  </si>
  <si>
    <t>MSSV</t>
  </si>
  <si>
    <t>SĐT</t>
  </si>
  <si>
    <t>Ghi chú</t>
  </si>
  <si>
    <t>Ký hiệu</t>
  </si>
  <si>
    <t>Nơi lấy mã nhóm: Vào ELIT, vào trang làm nhóm của đồ án sẽ thấy mục mã nhóm</t>
  </si>
  <si>
    <t>Đặng Ngọc Kim Khánh</t>
  </si>
  <si>
    <t>0813488544</t>
  </si>
  <si>
    <t>TV1</t>
  </si>
  <si>
    <t>Vũ Khánh Huyền</t>
  </si>
  <si>
    <t>0868340469</t>
  </si>
  <si>
    <t>TV2</t>
  </si>
  <si>
    <t>TV3</t>
  </si>
  <si>
    <t>TV4</t>
  </si>
  <si>
    <t>THANG ĐIỂM ĐÁNH GIÁ TIỂU LUẬN GIỮA KỲ MÔN FULL-STACK</t>
  </si>
  <si>
    <t>Nhóm yêu cầu</t>
  </si>
  <si>
    <t>Tiêu chí đánh giá chung (Mỗi tiêu chí tối đa 0.5đ)</t>
  </si>
  <si>
    <t>Mức 1 (0đ)</t>
  </si>
  <si>
    <t>Mức 2 (Tối đa 75% - 0.375đ)</t>
  </si>
  <si>
    <t>Mức 3 (100% - 0.5đ)</t>
  </si>
  <si>
    <t>I. Hình thức &amp; Cấu trúc (2.0đ)</t>
  </si>
  <si>
    <t>1. Slide: Bố cục, thẩm mỹ</t>
  </si>
  <si>
    <t>Không nộp slide hoặc slide quá nhiều chữ, rối mắt.</t>
  </si>
  <si>
    <t>Slide khá mạch lạc nhưng còn vài slide nhiều chữ, khó dùng giảng dạy.</t>
  </si>
  <si>
    <t>Slide trực quan, rất ít chữ, bố cục chuyên nghiệp, đẹp mắt.</t>
  </si>
  <si>
    <t>2. Slide: Kết luận &amp; Tài liệu tham khảo</t>
  </si>
  <si>
    <t>Thiếu hoàn toàn cả hai phần.</t>
  </si>
  <si>
    <t>Có kết luận hoặc tài liệu tham khảo nhưng sơ sài, format không chuẩn.</t>
  </si>
  <si>
    <t>Có đầy đủ kết luận súc tích và danh sách tài liệu tham khảo rõ ràng.</t>
  </si>
  <si>
    <t>3. Báo cáo: Mục lục &amp; Bố cục</t>
  </si>
  <si>
    <t>Không có mục lục hoặc mục lục sai lệch hoàn toàn.</t>
  </si>
  <si>
    <t>Có mục lục nhưng đánh số trang sai hoặc phân cấp mục chưa hợp lý.</t>
  </si>
  <si>
    <t>Có mục lục tự động chuẩn xác, dễ theo dõi, phân cấp rõ ràng.</t>
  </si>
  <si>
    <t>4. Báo cáo: Định dạng văn bản</t>
  </si>
  <si>
    <t>Trình bày cẩu thả, lỗi font, không đồng nhất format.</t>
  </si>
  <si>
    <t>Trình bày tương đối sạch sẽ nhưng còn vài lỗi format/chính tả nhỏ.</t>
  </si>
  <si>
    <t>Format đồng nhất, chuyên nghiệp, không lỗi chính tả, văn phong chuẩn kỹ thuật.</t>
  </si>
  <si>
    <t>II. Nội dung Lý thuyết &amp; Bắt buộc (3.0đ)</t>
  </si>
  <si>
    <t>5. Tổng quan: Khái niệm &amp; Mục đích</t>
  </si>
  <si>
    <t>Không trình bày hoặc copy sai lệch khái niệm.</t>
  </si>
  <si>
    <t>Có nêu khái niệm nhưng còn lủng củng, chưa lột tả được mục đích chính.</t>
  </si>
  <si>
    <t>Giải thích khái niệm, mục đích, cách dùng vô cùng rõ ràng, chuẩn xác.</t>
  </si>
  <si>
    <t>6. Tổng quan: Ưu/nhược điểm (Use-case)</t>
  </si>
  <si>
    <t>Không có phân tích ưu/nhược điểm.</t>
  </si>
  <si>
    <t>Có nêu ưu/nhược điểm nhưng sơ sài, sao chép nguyên xi trên mạng.</t>
  </si>
  <si>
    <t>Phân tích sâu sắc ưu/nhược điểm hoặc đưa ra use-case thực tế thuyết phục.</t>
  </si>
  <si>
    <t>7. Nội dung bắt buộc: Bao phủ yêu cầu (Phần 1)</t>
  </si>
  <si>
    <t>Thiếu hầu hết các gạch đầu dòng bắt buộc nửa đầu của đề.</t>
  </si>
  <si>
    <t>Đề cập đủ nhưng giải thích qua loa, thiếu ví dụ gắn kèm.</t>
  </si>
  <si>
    <t>Trình bày đầy đủ, chi tiết các nội dung bắt buộc (nửa đầu của đề).</t>
  </si>
  <si>
    <t>8. Nội dung bắt buộc: Bao phủ yêu cầu (Phần 2)</t>
  </si>
  <si>
    <t>Thiếu hầu hết các gạch đầu dòng bắt buộc nửa sau của đề.</t>
  </si>
  <si>
    <t>Trình bày đầy đủ, chi tiết các nội dung bắt buộc (nửa sau của đề).</t>
  </si>
  <si>
    <t>9. Nội dung bắt buộc: Chiều sâu lý thuyết</t>
  </si>
  <si>
    <t>Nội dung hoàn toàn là copy/paste, không thể hiện việc hiểu bài.</t>
  </si>
  <si>
    <t>Có văn phong cá nhân nhưng giải thích một số cơ chế cốt lõi còn lúng túng.</t>
  </si>
  <si>
    <t>Giải thích lý thuyết sâu sắc, văn phong hiểu bài, tự viết lại theo ý hiểu.</t>
  </si>
  <si>
    <t>10. Báo cáo chi tiết hơn Slide</t>
  </si>
  <si>
    <t>Báo cáo y hệt slide, không có thêm thông tin.</t>
  </si>
  <si>
    <t>Báo cáo có chi tiết hơn nhưng đôi chỗ vẫn mang tính liệt kê như slide.</t>
  </si>
  <si>
    <t>Báo cáo diễn giải rất cặn kẽ, sâu sắc các ý tóm tắt trên slide.</t>
  </si>
  <si>
    <t>III. Minh họa &amp; Video Demo (2.0đ)</t>
  </si>
  <si>
    <t>11. Ảnh chụp &amp; Sơ đồ (Trong Báo cáo)</t>
  </si>
  <si>
    <t>Không có ảnh chụp/sơ đồ minh họa nào.</t>
  </si>
  <si>
    <t>Có ảnh chụp màn hình/code nhưng mờ, rối, thiếu chú thích.</t>
  </si>
  <si>
    <t>Ảnh chụp màn hình rõ nét, có đánh dấu (highlight) vị trí quan trọng, chú thích rõ ràng.</t>
  </si>
  <si>
    <t>12. Hướng dẫn cài đặt &amp; Chạy ứng dụng</t>
  </si>
  <si>
    <t>Không có hướng dẫn cài đặt hoặc lệnh chạy.</t>
  </si>
  <si>
    <t>Có hướng dẫn nhưng thiếu bước, khó để người khác tái lập lại kết quả.</t>
  </si>
  <si>
    <t>Hướng dẫn từng bước cực kỳ chi tiết, chuẩn xác, lệnh chạy không lỗi.</t>
  </si>
  <si>
    <t>13. Video Demo: Chất lượng &amp; Thao tác</t>
  </si>
  <si>
    <t>Không nộp video demo.</t>
  </si>
  <si>
    <t>Video mờ, độ dài không hợp lý hoặc thao tác chạy app ngập ngừng, khó theo dõi.</t>
  </si>
  <si>
    <t>Video rõ nét (đúng giới hạn thời gian), thao tác mượt mà, trơn tru.</t>
  </si>
  <si>
    <t>14. Video Demo: Tính hoàn thiện chức năng</t>
  </si>
  <si>
    <t>App không chạy được hoặc báo lỗi liên tục trong video.</t>
  </si>
  <si>
    <t>App chạy được nhưng 1-2 chức năng/luồng user bị lỗi (bug) nhỏ.</t>
  </si>
  <si>
    <t>Trình diễn đầy đủ các chức năng minh họa bắt buộc không có bất kỳ lỗi nào.</t>
  </si>
  <si>
    <t>IV. Bài tập ứng dụng (3.0đ)</t>
  </si>
  <si>
    <t>15. Đề xuất 03 bài tập</t>
  </si>
  <si>
    <t>Không có bài tập hoặc các bài tập đi lạc đề hoàn toàn.</t>
  </si>
  <si>
    <t>Nêu được 1-2 bài hoặc 3 bài nhưng quá đơn giản, chưa bám sát đề.</t>
  </si>
  <si>
    <t>Đề xuất đủ 03 bài tập hợp lý, có tính thực tiễn, bám sát kiến thức trọng tâm.</t>
  </si>
  <si>
    <t>16. Lời giải &amp; Code minh họa (Bài 1)</t>
  </si>
  <si>
    <t>Không giải được Bài 1 hoặc code sai hoàn toàn.</t>
  </si>
  <si>
    <t>Code chạy được nhưng chưa tối ưu, giải thích qua loa.</t>
  </si>
  <si>
    <t>Code đúng chuẩn, sạch sẽ; giải thích cách làm cực kỳ chi tiết, dễ hiểu.</t>
  </si>
  <si>
    <t>17. Lời giải &amp; Code minh họa (Bài 2)</t>
  </si>
  <si>
    <t>Không giải được Bài 2 hoặc code sai hoàn toàn.</t>
  </si>
  <si>
    <t>18. Lời giải &amp; Code minh họa (Bài 3)</t>
  </si>
  <si>
    <t>Không giải được Bài 3 hoặc code sai hoàn toàn.</t>
  </si>
  <si>
    <t>19. Trình bày bài tập trên Slide</t>
  </si>
  <si>
    <t>Không đưa bài tập lên slide.</t>
  </si>
  <si>
    <t>Có đưa lên nhưng chèn cả đoạn code dài gây rối mắt, khó đọc.</t>
  </si>
  <si>
    <t>Cô đọng đề bài và snippet code trọng tâm lên slide cực kỳ trực quan.</t>
  </si>
  <si>
    <t>20. Trình bày bài tập trong Báo cáo</t>
  </si>
  <si>
    <t>Không đưa bài tập vào báo cáo.</t>
  </si>
  <si>
    <t>Đưa bài tập vào nhưng thiếu đề hoặc chỉ thả code không giải thích.</t>
  </si>
  <si>
    <t>Đưa đủ đề bài, đoạn code và giải thích step-by-step logic giải quyết vấn đề.</t>
  </si>
  <si>
    <t>Điểm trừ nếu có</t>
  </si>
  <si>
    <t>Tổng cộng</t>
  </si>
  <si>
    <t>Tối đa 10.0 điểm</t>
  </si>
  <si>
    <t>Công việc</t>
  </si>
  <si>
    <t>Mức độ hoàn thành</t>
  </si>
  <si>
    <t>Đặng Ngọc Kim Khánh (TV1)</t>
  </si>
  <si>
    <t>Phụ trách module hiển thị dữ liệu của mini-app React-Bootstrap: tạo project, cài đặt thư viện, tạo cấu trúc thư mục, xây dụng Nav, Home, DashboardCard, ProductTable, dữ liệu sản phần. Viết báo cáo và slide phần giới thiệu React-Bootstrap, hướng dẫn chạy và cài đặt, Navigation, Table, Card, phụ trách ảnh demo phần giao diện danh sách.</t>
  </si>
  <si>
    <t>Vũ Khánh Huyền (TV2)</t>
  </si>
  <si>
    <t>Phụ trách module thao tác dữ liệu của mini-app; xây dựng form, alert, xử lý thêm, sửa, xoá dữ liệu. Viết báo cáo và slide phần form, alert, modals, ưu/nhược điểm, phụ trách phần ảnh demo form, alert và modal, phụ trách quay demo.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</si>
</sst>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sz val="12.0"/>
      <color rgb="FF212529"/>
      <name val="&quot;Source Sans Pro&quot;"/>
    </font>
    <font>
      <b/>
      <sz val="12.0"/>
      <color theme="1"/>
      <name val="Arial"/>
    </font>
    <font>
      <b/>
      <sz val="12.0"/>
      <color theme="1"/>
      <name val="Times New Roman"/>
    </font>
    <font>
      <sz val="12.0"/>
      <color theme="1"/>
      <name val="Times New Roman"/>
    </font>
    <font>
      <b/>
      <sz val="16.0"/>
      <color theme="1"/>
      <name val="Times New Roman"/>
    </font>
    <font>
      <b/>
      <color rgb="FF1F1F1F"/>
      <name val="Arial"/>
    </font>
    <font>
      <color rgb="FF1F1F1F"/>
      <name val="Arial"/>
    </font>
    <font>
      <b/>
      <sz val="13.0"/>
      <color theme="1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4">
    <border/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vertical="bottom"/>
    </xf>
    <xf borderId="1" fillId="2" fontId="2" numFmtId="0" xfId="0" applyAlignment="1" applyBorder="1" applyFill="1" applyFont="1">
      <alignment readingOrder="0" vertical="top"/>
    </xf>
    <xf borderId="0" fillId="0" fontId="1" numFmtId="0" xfId="0" applyAlignment="1" applyFont="1">
      <alignment vertical="bottom"/>
    </xf>
    <xf borderId="0" fillId="0" fontId="1" numFmtId="0" xfId="0" applyFont="1"/>
    <xf borderId="2" fillId="0" fontId="3" numFmtId="0" xfId="0" applyAlignment="1" applyBorder="1" applyFont="1">
      <alignment vertical="bottom"/>
    </xf>
    <xf borderId="2" fillId="0" fontId="4" numFmtId="0" xfId="0" applyAlignment="1" applyBorder="1" applyFont="1">
      <alignment vertical="bottom"/>
    </xf>
    <xf borderId="2" fillId="2" fontId="1" numFmtId="0" xfId="0" applyAlignment="1" applyBorder="1" applyFont="1">
      <alignment horizontal="center" readingOrder="0" vertical="center"/>
    </xf>
    <xf quotePrefix="1" borderId="2" fillId="2" fontId="1" numFmtId="0" xfId="0" applyAlignment="1" applyBorder="1" applyFont="1">
      <alignment horizontal="center" readingOrder="0" vertical="center"/>
    </xf>
    <xf borderId="2" fillId="2" fontId="1" numFmtId="0" xfId="0" applyAlignment="1" applyBorder="1" applyFont="1">
      <alignment horizontal="center" vertical="center"/>
    </xf>
    <xf borderId="2" fillId="0" fontId="5" numFmtId="0" xfId="0" applyAlignment="1" applyBorder="1" applyFont="1">
      <alignment vertical="bottom"/>
    </xf>
    <xf borderId="2" fillId="2" fontId="1" numFmtId="0" xfId="0" applyAlignment="1" applyBorder="1" applyFont="1">
      <alignment vertical="bottom"/>
    </xf>
    <xf borderId="0" fillId="0" fontId="6" numFmtId="0" xfId="0" applyAlignment="1" applyFont="1">
      <alignment horizontal="center" vertical="bottom"/>
    </xf>
    <xf borderId="0" fillId="2" fontId="1" numFmtId="0" xfId="0" applyFont="1"/>
    <xf borderId="0" fillId="2" fontId="1" numFmtId="0" xfId="0" applyAlignment="1" applyFont="1">
      <alignment shrinkToFit="0" wrapText="1"/>
    </xf>
    <xf borderId="0" fillId="2" fontId="1" numFmtId="0" xfId="0" applyAlignment="1" applyFont="1">
      <alignment horizontal="center"/>
    </xf>
    <xf borderId="0" fillId="3" fontId="7" numFmtId="0" xfId="0" applyAlignment="1" applyFill="1" applyFont="1">
      <alignment shrinkToFit="0" vertical="bottom" wrapText="1"/>
    </xf>
    <xf borderId="0" fillId="3" fontId="8" numFmtId="0" xfId="0" applyAlignment="1" applyFont="1">
      <alignment shrinkToFit="0" vertical="bottom" wrapText="1"/>
    </xf>
    <xf borderId="2" fillId="3" fontId="1" numFmtId="0" xfId="0" applyAlignment="1" applyBorder="1" applyFont="1">
      <alignment readingOrder="0" vertical="bottom"/>
    </xf>
    <xf borderId="2" fillId="3" fontId="1" numFmtId="0" xfId="0" applyAlignment="1" applyBorder="1" applyFont="1">
      <alignment vertical="bottom"/>
    </xf>
    <xf borderId="0" fillId="2" fontId="1" numFmtId="0" xfId="0" applyAlignment="1" applyFont="1">
      <alignment vertical="bottom"/>
    </xf>
    <xf borderId="0" fillId="2" fontId="8" numFmtId="0" xfId="0" applyAlignment="1" applyFont="1">
      <alignment shrinkToFit="0" vertical="bottom" wrapText="1"/>
    </xf>
    <xf borderId="2" fillId="2" fontId="1" numFmtId="0" xfId="0" applyAlignment="1" applyBorder="1" applyFont="1">
      <alignment readingOrder="0" vertical="bottom"/>
    </xf>
    <xf borderId="2" fillId="2" fontId="1" numFmtId="0" xfId="0" applyAlignment="1" applyBorder="1" applyFont="1">
      <alignment vertical="bottom"/>
    </xf>
    <xf borderId="0" fillId="3" fontId="1" numFmtId="0" xfId="0" applyAlignment="1" applyFont="1">
      <alignment vertical="bottom"/>
    </xf>
    <xf borderId="0" fillId="0" fontId="1" numFmtId="0" xfId="0" applyAlignment="1" applyFont="1">
      <alignment vertical="top"/>
    </xf>
    <xf borderId="3" fillId="3" fontId="1" numFmtId="0" xfId="0" applyAlignment="1" applyBorder="1" applyFont="1">
      <alignment vertical="bottom"/>
    </xf>
    <xf borderId="0" fillId="2" fontId="1" numFmtId="0" xfId="0" applyAlignment="1" applyFont="1">
      <alignment horizontal="right" vertical="bottom"/>
    </xf>
    <xf borderId="2" fillId="0" fontId="9" numFmtId="0" xfId="0" applyAlignment="1" applyBorder="1" applyFont="1">
      <alignment horizontal="center"/>
    </xf>
    <xf borderId="2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left" readingOrder="0" shrinkToFit="0" vertical="center" wrapText="1"/>
    </xf>
    <xf borderId="2" fillId="0" fontId="5" numFmtId="9" xfId="0" applyAlignment="1" applyBorder="1" applyFont="1" applyNumberFormat="1">
      <alignment horizontal="center" readingOrder="0" shrinkToFit="0" vertical="center" wrapText="1"/>
    </xf>
    <xf borderId="2" fillId="0" fontId="5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</dxfs>
  <tableStyles count="1">
    <tableStyle count="3" pivot="0" name="Bảng đánh giá-style">
      <tableStyleElement dxfId="1" type="headerRow"/>
      <tableStyleElement dxfId="2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9:I31" displayName="Table_1" name="Table_1" id="1">
  <tableColumns count="9">
    <tableColumn name="Nhóm yêu cầu" id="1"/>
    <tableColumn name="Tiêu chí đánh giá chung (Mỗi tiêu chí tối đa 0.5đ)" id="2"/>
    <tableColumn name="Mức 1 (0đ)" id="3"/>
    <tableColumn name="Mức 2 (Tối đa 75% - 0.375đ)" id="4"/>
    <tableColumn name="Mức 3 (100% - 0.5đ)" id="5"/>
    <tableColumn name="TV1" id="6"/>
    <tableColumn name="TV2" id="7"/>
    <tableColumn name="TV3" id="8"/>
    <tableColumn name="TV4" id="9"/>
  </tableColumns>
  <tableStyleInfo name="Bảng đánh giá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13"/>
    <col customWidth="1" min="2" max="2" width="31.38"/>
    <col customWidth="1" min="3" max="3" width="44.75"/>
    <col customWidth="1" min="4" max="4" width="42.75"/>
    <col customWidth="1" min="5" max="5" width="37.5"/>
  </cols>
  <sheetData>
    <row r="1">
      <c r="A1" s="1" t="s">
        <v>0</v>
      </c>
      <c r="B1" s="2" t="s">
        <v>1</v>
      </c>
      <c r="C1" s="3" t="s">
        <v>2</v>
      </c>
      <c r="D1" s="3"/>
      <c r="E1" s="3"/>
      <c r="F1" s="3"/>
      <c r="G1" s="3"/>
      <c r="H1" s="3"/>
      <c r="I1" s="3"/>
      <c r="J1" s="3"/>
      <c r="K1" s="3"/>
      <c r="L1" s="3"/>
      <c r="M1" s="3"/>
      <c r="N1" s="4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" t="s">
        <v>3</v>
      </c>
      <c r="B2" s="5" t="s">
        <v>4</v>
      </c>
      <c r="C2" s="5" t="s">
        <v>5</v>
      </c>
      <c r="D2" s="5" t="s">
        <v>6</v>
      </c>
      <c r="E2" s="5" t="s">
        <v>7</v>
      </c>
      <c r="F2" s="6" t="s">
        <v>8</v>
      </c>
      <c r="G2" s="3"/>
      <c r="H2" s="3"/>
      <c r="I2" s="3"/>
      <c r="J2" s="3"/>
      <c r="K2" s="4" t="s">
        <v>9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/>
      <c r="B3" s="7" t="s">
        <v>10</v>
      </c>
      <c r="C3" s="7">
        <v>5.2300208E7</v>
      </c>
      <c r="D3" s="8" t="s">
        <v>11</v>
      </c>
      <c r="E3" s="9"/>
      <c r="F3" s="10" t="s">
        <v>12</v>
      </c>
      <c r="G3" s="3"/>
      <c r="H3" s="3"/>
      <c r="I3" s="3"/>
      <c r="J3" s="3"/>
      <c r="K3" s="3"/>
      <c r="L3" s="3"/>
      <c r="M3" s="3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7" t="s">
        <v>13</v>
      </c>
      <c r="C4" s="7">
        <v>5.2300206E7</v>
      </c>
      <c r="D4" s="8" t="s">
        <v>14</v>
      </c>
      <c r="E4" s="9"/>
      <c r="F4" s="10" t="s">
        <v>15</v>
      </c>
      <c r="G4" s="3"/>
      <c r="H4" s="3"/>
      <c r="I4" s="3"/>
      <c r="J4" s="3"/>
      <c r="K4" s="3"/>
      <c r="L4" s="3"/>
      <c r="M4" s="3"/>
      <c r="N4" s="4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11"/>
      <c r="C5" s="11"/>
      <c r="D5" s="11"/>
      <c r="E5" s="11"/>
      <c r="F5" s="10" t="s">
        <v>16</v>
      </c>
      <c r="G5" s="3"/>
      <c r="H5" s="3"/>
      <c r="I5" s="3"/>
      <c r="J5" s="3"/>
      <c r="K5" s="3"/>
      <c r="L5" s="3"/>
      <c r="M5" s="3"/>
      <c r="N5" s="4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11"/>
      <c r="C6" s="11"/>
      <c r="D6" s="11"/>
      <c r="E6" s="11"/>
      <c r="F6" s="10" t="s">
        <v>17</v>
      </c>
      <c r="G6" s="3"/>
      <c r="H6" s="3"/>
      <c r="I6" s="3"/>
      <c r="J6" s="3"/>
      <c r="K6" s="3"/>
      <c r="L6" s="3"/>
      <c r="M6" s="3"/>
      <c r="N6" s="4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4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2" t="s">
        <v>18</v>
      </c>
      <c r="F8" s="3"/>
      <c r="G8" s="3"/>
      <c r="H8" s="3"/>
      <c r="I8" s="3"/>
      <c r="J8" s="3"/>
      <c r="K8" s="3"/>
      <c r="L8" s="3"/>
      <c r="M8" s="3"/>
      <c r="N8" s="4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3" t="s">
        <v>19</v>
      </c>
      <c r="B9" s="14" t="s">
        <v>20</v>
      </c>
      <c r="C9" s="14" t="s">
        <v>21</v>
      </c>
      <c r="D9" s="14" t="s">
        <v>22</v>
      </c>
      <c r="E9" s="14" t="s">
        <v>23</v>
      </c>
      <c r="F9" s="15" t="s">
        <v>12</v>
      </c>
      <c r="G9" s="15" t="s">
        <v>15</v>
      </c>
      <c r="H9" s="15" t="s">
        <v>16</v>
      </c>
      <c r="I9" s="15" t="s">
        <v>17</v>
      </c>
      <c r="J9" s="3"/>
      <c r="K9" s="3"/>
      <c r="L9" s="4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 t="s">
        <v>24</v>
      </c>
      <c r="B10" s="17" t="s">
        <v>25</v>
      </c>
      <c r="C10" s="17" t="s">
        <v>26</v>
      </c>
      <c r="D10" s="17" t="s">
        <v>27</v>
      </c>
      <c r="E10" s="17" t="s">
        <v>28</v>
      </c>
      <c r="F10" s="18">
        <v>0.5</v>
      </c>
      <c r="G10" s="18">
        <v>0.5</v>
      </c>
      <c r="H10" s="19"/>
      <c r="I10" s="19"/>
      <c r="J10" s="3"/>
      <c r="K10" s="3"/>
      <c r="L10" s="4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20"/>
      <c r="B11" s="21" t="s">
        <v>29</v>
      </c>
      <c r="C11" s="21" t="s">
        <v>30</v>
      </c>
      <c r="D11" s="21" t="s">
        <v>31</v>
      </c>
      <c r="E11" s="21" t="s">
        <v>32</v>
      </c>
      <c r="F11" s="22">
        <v>0.5</v>
      </c>
      <c r="G11" s="22">
        <v>0.5</v>
      </c>
      <c r="H11" s="23"/>
      <c r="I11" s="23"/>
      <c r="J11" s="3"/>
      <c r="K11" s="3"/>
      <c r="L11" s="4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24"/>
      <c r="B12" s="17" t="s">
        <v>33</v>
      </c>
      <c r="C12" s="17" t="s">
        <v>34</v>
      </c>
      <c r="D12" s="17" t="s">
        <v>35</v>
      </c>
      <c r="E12" s="17" t="s">
        <v>36</v>
      </c>
      <c r="F12" s="18">
        <v>0.5</v>
      </c>
      <c r="G12" s="18">
        <v>0.5</v>
      </c>
      <c r="H12" s="19"/>
      <c r="I12" s="19"/>
      <c r="J12" s="3"/>
      <c r="K12" s="3"/>
      <c r="L12" s="4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20"/>
      <c r="B13" s="21" t="s">
        <v>37</v>
      </c>
      <c r="C13" s="21" t="s">
        <v>38</v>
      </c>
      <c r="D13" s="21" t="s">
        <v>39</v>
      </c>
      <c r="E13" s="21" t="s">
        <v>40</v>
      </c>
      <c r="F13" s="22">
        <v>0.5</v>
      </c>
      <c r="G13" s="22">
        <v>0.5</v>
      </c>
      <c r="H13" s="23"/>
      <c r="I13" s="23"/>
      <c r="J13" s="3"/>
      <c r="K13" s="3"/>
      <c r="L13" s="4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 t="s">
        <v>41</v>
      </c>
      <c r="B14" s="17" t="s">
        <v>42</v>
      </c>
      <c r="C14" s="17" t="s">
        <v>43</v>
      </c>
      <c r="D14" s="17" t="s">
        <v>44</v>
      </c>
      <c r="E14" s="17" t="s">
        <v>45</v>
      </c>
      <c r="F14" s="18">
        <v>0.5</v>
      </c>
      <c r="G14" s="18">
        <v>0.5</v>
      </c>
      <c r="H14" s="19"/>
      <c r="I14" s="19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20"/>
      <c r="B15" s="21" t="s">
        <v>46</v>
      </c>
      <c r="C15" s="21" t="s">
        <v>47</v>
      </c>
      <c r="D15" s="21" t="s">
        <v>48</v>
      </c>
      <c r="E15" s="21" t="s">
        <v>49</v>
      </c>
      <c r="F15" s="22">
        <v>0.375</v>
      </c>
      <c r="G15" s="22">
        <v>0.375</v>
      </c>
      <c r="H15" s="23"/>
      <c r="I15" s="2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24"/>
      <c r="B16" s="17" t="s">
        <v>50</v>
      </c>
      <c r="C16" s="17" t="s">
        <v>51</v>
      </c>
      <c r="D16" s="17" t="s">
        <v>52</v>
      </c>
      <c r="E16" s="17" t="s">
        <v>53</v>
      </c>
      <c r="F16" s="18">
        <v>0.5</v>
      </c>
      <c r="G16" s="18">
        <v>0.5</v>
      </c>
      <c r="H16" s="19"/>
      <c r="I16" s="19"/>
      <c r="J16" s="25"/>
      <c r="K16" s="25"/>
      <c r="L16" s="25"/>
      <c r="M16" s="25"/>
      <c r="N16" s="25"/>
      <c r="O16" s="25"/>
      <c r="P16" s="25"/>
      <c r="Q16" s="25"/>
      <c r="R16" s="3"/>
      <c r="S16" s="3"/>
      <c r="T16" s="3"/>
      <c r="U16" s="3"/>
      <c r="V16" s="3"/>
      <c r="W16" s="3"/>
      <c r="X16" s="3"/>
      <c r="Y16" s="3"/>
      <c r="Z16" s="3"/>
    </row>
    <row r="17">
      <c r="A17" s="20"/>
      <c r="B17" s="21" t="s">
        <v>54</v>
      </c>
      <c r="C17" s="21" t="s">
        <v>55</v>
      </c>
      <c r="D17" s="21" t="s">
        <v>52</v>
      </c>
      <c r="E17" s="21" t="s">
        <v>56</v>
      </c>
      <c r="F17" s="22">
        <v>0.5</v>
      </c>
      <c r="G17" s="22">
        <v>0.5</v>
      </c>
      <c r="H17" s="23"/>
      <c r="I17" s="23"/>
      <c r="J17" s="25"/>
      <c r="K17" s="25"/>
      <c r="L17" s="25"/>
      <c r="M17" s="25"/>
      <c r="N17" s="25"/>
      <c r="O17" s="25"/>
      <c r="P17" s="25"/>
      <c r="Q17" s="25"/>
      <c r="R17" s="3"/>
      <c r="S17" s="3"/>
      <c r="T17" s="3"/>
      <c r="U17" s="3"/>
      <c r="V17" s="3"/>
      <c r="W17" s="3"/>
      <c r="X17" s="3"/>
      <c r="Y17" s="3"/>
      <c r="Z17" s="3"/>
    </row>
    <row r="18">
      <c r="A18" s="24"/>
      <c r="B18" s="17" t="s">
        <v>57</v>
      </c>
      <c r="C18" s="17" t="s">
        <v>58</v>
      </c>
      <c r="D18" s="17" t="s">
        <v>59</v>
      </c>
      <c r="E18" s="17" t="s">
        <v>60</v>
      </c>
      <c r="F18" s="18">
        <v>0.375</v>
      </c>
      <c r="G18" s="18">
        <v>0.375</v>
      </c>
      <c r="H18" s="19"/>
      <c r="I18" s="19"/>
      <c r="J18" s="25"/>
      <c r="K18" s="25"/>
      <c r="L18" s="25"/>
      <c r="M18" s="25"/>
      <c r="N18" s="25"/>
      <c r="O18" s="25"/>
      <c r="P18" s="25"/>
      <c r="Q18" s="25"/>
      <c r="R18" s="3"/>
      <c r="S18" s="3"/>
      <c r="T18" s="3"/>
      <c r="U18" s="3"/>
      <c r="V18" s="3"/>
      <c r="W18" s="3"/>
      <c r="X18" s="3"/>
      <c r="Y18" s="3"/>
      <c r="Z18" s="3"/>
    </row>
    <row r="19">
      <c r="A19" s="20"/>
      <c r="B19" s="21" t="s">
        <v>61</v>
      </c>
      <c r="C19" s="21" t="s">
        <v>62</v>
      </c>
      <c r="D19" s="21" t="s">
        <v>63</v>
      </c>
      <c r="E19" s="21" t="s">
        <v>64</v>
      </c>
      <c r="F19" s="22">
        <v>0.5</v>
      </c>
      <c r="G19" s="22">
        <v>0.5</v>
      </c>
      <c r="H19" s="23"/>
      <c r="I19" s="23"/>
      <c r="J19" s="25"/>
      <c r="K19" s="25"/>
      <c r="L19" s="25"/>
      <c r="M19" s="25"/>
      <c r="N19" s="25"/>
      <c r="O19" s="25"/>
      <c r="P19" s="25"/>
      <c r="Q19" s="25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 t="s">
        <v>65</v>
      </c>
      <c r="B20" s="17" t="s">
        <v>66</v>
      </c>
      <c r="C20" s="17" t="s">
        <v>67</v>
      </c>
      <c r="D20" s="17" t="s">
        <v>68</v>
      </c>
      <c r="E20" s="17" t="s">
        <v>69</v>
      </c>
      <c r="F20" s="18">
        <v>0.5</v>
      </c>
      <c r="G20" s="18">
        <v>0.5</v>
      </c>
      <c r="H20" s="19"/>
      <c r="I20" s="19"/>
      <c r="J20" s="25"/>
      <c r="K20" s="25"/>
      <c r="L20" s="25"/>
      <c r="M20" s="25"/>
      <c r="N20" s="25"/>
      <c r="O20" s="25"/>
      <c r="P20" s="25"/>
      <c r="Q20" s="25"/>
      <c r="R20" s="3"/>
      <c r="S20" s="3"/>
      <c r="T20" s="3"/>
      <c r="U20" s="3"/>
      <c r="V20" s="3"/>
      <c r="W20" s="3"/>
      <c r="X20" s="3"/>
      <c r="Y20" s="3"/>
      <c r="Z20" s="3"/>
    </row>
    <row r="21">
      <c r="A21" s="20"/>
      <c r="B21" s="21" t="s">
        <v>70</v>
      </c>
      <c r="C21" s="21" t="s">
        <v>71</v>
      </c>
      <c r="D21" s="21" t="s">
        <v>72</v>
      </c>
      <c r="E21" s="21" t="s">
        <v>73</v>
      </c>
      <c r="F21" s="22">
        <v>0.5</v>
      </c>
      <c r="G21" s="22">
        <v>0.5</v>
      </c>
      <c r="H21" s="23"/>
      <c r="I21" s="23"/>
      <c r="J21" s="25"/>
      <c r="K21" s="25"/>
      <c r="L21" s="25"/>
      <c r="M21" s="25"/>
      <c r="N21" s="25"/>
      <c r="O21" s="25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24"/>
      <c r="B22" s="17" t="s">
        <v>74</v>
      </c>
      <c r="C22" s="17" t="s">
        <v>75</v>
      </c>
      <c r="D22" s="17" t="s">
        <v>76</v>
      </c>
      <c r="E22" s="17" t="s">
        <v>77</v>
      </c>
      <c r="F22" s="18">
        <v>0.5</v>
      </c>
      <c r="G22" s="18">
        <v>0.5</v>
      </c>
      <c r="H22" s="19"/>
      <c r="I22" s="19"/>
      <c r="J22" s="25"/>
      <c r="K22" s="25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20"/>
      <c r="B23" s="21" t="s">
        <v>78</v>
      </c>
      <c r="C23" s="21" t="s">
        <v>79</v>
      </c>
      <c r="D23" s="21" t="s">
        <v>80</v>
      </c>
      <c r="E23" s="21" t="s">
        <v>81</v>
      </c>
      <c r="F23" s="22">
        <v>0.5</v>
      </c>
      <c r="G23" s="22">
        <v>0.5</v>
      </c>
      <c r="H23" s="23"/>
      <c r="I23" s="23"/>
      <c r="J23" s="25"/>
      <c r="K23" s="25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 t="s">
        <v>82</v>
      </c>
      <c r="B24" s="17" t="s">
        <v>83</v>
      </c>
      <c r="C24" s="17" t="s">
        <v>84</v>
      </c>
      <c r="D24" s="17" t="s">
        <v>85</v>
      </c>
      <c r="E24" s="17" t="s">
        <v>86</v>
      </c>
      <c r="F24" s="18">
        <v>0.5</v>
      </c>
      <c r="G24" s="18">
        <v>0.5</v>
      </c>
      <c r="H24" s="19"/>
      <c r="I24" s="19"/>
      <c r="J24" s="25"/>
      <c r="K24" s="25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20"/>
      <c r="B25" s="21" t="s">
        <v>87</v>
      </c>
      <c r="C25" s="21" t="s">
        <v>88</v>
      </c>
      <c r="D25" s="21" t="s">
        <v>89</v>
      </c>
      <c r="E25" s="21" t="s">
        <v>90</v>
      </c>
      <c r="F25" s="22">
        <v>0.5</v>
      </c>
      <c r="G25" s="22">
        <v>0.5</v>
      </c>
      <c r="H25" s="23"/>
      <c r="I25" s="23"/>
      <c r="J25" s="25"/>
      <c r="K25" s="25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24"/>
      <c r="B26" s="17" t="s">
        <v>91</v>
      </c>
      <c r="C26" s="17" t="s">
        <v>92</v>
      </c>
      <c r="D26" s="17" t="s">
        <v>89</v>
      </c>
      <c r="E26" s="17" t="s">
        <v>90</v>
      </c>
      <c r="F26" s="18">
        <v>0.5</v>
      </c>
      <c r="G26" s="18">
        <v>0.5</v>
      </c>
      <c r="H26" s="19"/>
      <c r="I26" s="19"/>
      <c r="J26" s="25"/>
      <c r="K26" s="25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20"/>
      <c r="B27" s="21" t="s">
        <v>93</v>
      </c>
      <c r="C27" s="21" t="s">
        <v>94</v>
      </c>
      <c r="D27" s="21" t="s">
        <v>89</v>
      </c>
      <c r="E27" s="21" t="s">
        <v>90</v>
      </c>
      <c r="F27" s="22">
        <v>0.5</v>
      </c>
      <c r="G27" s="22">
        <v>0.5</v>
      </c>
      <c r="H27" s="23"/>
      <c r="I27" s="23"/>
      <c r="J27" s="25"/>
      <c r="K27" s="25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24"/>
      <c r="B28" s="17" t="s">
        <v>95</v>
      </c>
      <c r="C28" s="17" t="s">
        <v>96</v>
      </c>
      <c r="D28" s="17" t="s">
        <v>97</v>
      </c>
      <c r="E28" s="17" t="s">
        <v>98</v>
      </c>
      <c r="F28" s="18">
        <v>0.5</v>
      </c>
      <c r="G28" s="18">
        <v>0.5</v>
      </c>
      <c r="H28" s="19"/>
      <c r="I28" s="19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20"/>
      <c r="B29" s="21" t="s">
        <v>99</v>
      </c>
      <c r="C29" s="21" t="s">
        <v>100</v>
      </c>
      <c r="D29" s="21" t="s">
        <v>101</v>
      </c>
      <c r="E29" s="21" t="s">
        <v>102</v>
      </c>
      <c r="F29" s="22">
        <v>0.5</v>
      </c>
      <c r="G29" s="22">
        <v>0.5</v>
      </c>
      <c r="H29" s="23"/>
      <c r="I29" s="2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24"/>
      <c r="B30" s="24"/>
      <c r="C30" s="24"/>
      <c r="D30" s="24"/>
      <c r="E30" s="17" t="s">
        <v>103</v>
      </c>
      <c r="F30" s="26"/>
      <c r="G30" s="26"/>
      <c r="H30" s="26"/>
      <c r="I30" s="26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3" t="s">
        <v>104</v>
      </c>
      <c r="B31" s="14" t="s">
        <v>105</v>
      </c>
      <c r="C31" s="13"/>
      <c r="D31" s="13"/>
      <c r="E31" s="13"/>
      <c r="F31" s="27">
        <f t="shared" ref="F31:I31" si="1">SUM(F10:F29)- F30</f>
        <v>9.75</v>
      </c>
      <c r="G31" s="27">
        <f t="shared" si="1"/>
        <v>9.75</v>
      </c>
      <c r="H31" s="27">
        <f t="shared" si="1"/>
        <v>0</v>
      </c>
      <c r="I31" s="27">
        <f t="shared" si="1"/>
        <v>0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A8:E8"/>
  </mergeCell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5"/>
    <col customWidth="1" min="2" max="2" width="31.75"/>
    <col customWidth="1" min="3" max="3" width="18.88"/>
  </cols>
  <sheetData>
    <row r="1">
      <c r="A1" s="28" t="s">
        <v>3</v>
      </c>
      <c r="B1" s="28" t="s">
        <v>106</v>
      </c>
      <c r="C1" s="28" t="s">
        <v>107</v>
      </c>
      <c r="D1" s="28" t="s">
        <v>7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29" t="s">
        <v>108</v>
      </c>
      <c r="B2" s="30" t="s">
        <v>109</v>
      </c>
      <c r="C2" s="31">
        <v>1.0</v>
      </c>
      <c r="D2" s="32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29" t="s">
        <v>110</v>
      </c>
      <c r="B3" s="30" t="s">
        <v>111</v>
      </c>
      <c r="C3" s="31">
        <v>1.0</v>
      </c>
      <c r="D3" s="32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3"/>
      <c r="B4" s="33"/>
      <c r="C4" s="33"/>
      <c r="D4" s="3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3"/>
      <c r="B5" s="33"/>
      <c r="C5" s="33"/>
      <c r="D5" s="3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3"/>
      <c r="B6" s="33"/>
      <c r="C6" s="33"/>
      <c r="D6" s="3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3"/>
      <c r="B7" s="33"/>
      <c r="C7" s="33"/>
      <c r="D7" s="3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3"/>
      <c r="B8" s="33"/>
      <c r="C8" s="33"/>
      <c r="D8" s="3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</worksheet>
</file>